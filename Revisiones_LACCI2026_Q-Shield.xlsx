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hecklist_Asesora" sheetId="2" state="visible" r:id="rId2"/>
    <sheet xmlns:r="http://schemas.openxmlformats.org/officeDocument/2006/relationships" name="Observaciones" sheetId="3" state="visible" r:id="rId3"/>
    <sheet xmlns:r="http://schemas.openxmlformats.org/officeDocument/2006/relationships" name="Presupuesto_6pag" sheetId="4" state="visible" r:id="rId4"/>
    <sheet xmlns:r="http://schemas.openxmlformats.org/officeDocument/2006/relationships" name="Fortalezas_PPT" sheetId="5" state="visible" r:id="rId5"/>
  </sheets>
  <definedNames>
    <definedName name="_xlnm._FilterDatabase" localSheetId="2" hidden="1">'Observaciones'!$A$4:$M$15</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1A1A2E"/>
      <sz val="14"/>
    </font>
    <font>
      <name val="Calibri"/>
      <i val="1"/>
      <color rgb="00666666"/>
      <sz val="9"/>
    </font>
    <font>
      <b val="1"/>
      <color rgb="0000BFFF"/>
      <sz val="11"/>
    </font>
    <font>
      <b val="1"/>
      <sz val="10"/>
    </font>
    <font>
      <name val="Calibri"/>
      <sz val="10"/>
    </font>
    <font>
      <name val="Calibri"/>
      <b val="1"/>
      <color rgb="00FFFFFF"/>
      <sz val="10"/>
    </font>
    <font>
      <b val="1"/>
      <color rgb="0027AE60"/>
      <sz val="9"/>
    </font>
    <font>
      <b val="1"/>
      <i val="1"/>
      <sz val="10"/>
    </font>
    <font>
      <b val="1"/>
      <color rgb="0000BFFF"/>
      <sz val="10"/>
    </font>
    <font>
      <b val="1"/>
      <color rgb="001A1A2E"/>
      <sz val="10"/>
    </font>
    <font>
      <b val="1"/>
      <color rgb="00E74C3C"/>
      <sz val="10"/>
    </font>
    <font>
      <b val="1"/>
      <color rgb="00FFFFFF"/>
      <sz val="10"/>
    </font>
    <font>
      <b val="1"/>
      <color rgb="0027AE60"/>
      <sz val="10"/>
    </font>
    <font>
      <b val="1"/>
      <color rgb="00F39C12"/>
      <sz val="12"/>
    </font>
    <font>
      <b val="1"/>
      <color rgb="00F39C12"/>
      <sz val="10"/>
    </font>
    <font>
      <b val="1"/>
      <color rgb="0027AE60"/>
      <sz val="12"/>
    </font>
    <font>
      <b val="1"/>
      <color rgb="001A1A2E"/>
      <sz val="14"/>
    </font>
    <font>
      <i val="1"/>
      <color rgb="00666666"/>
      <sz val="9"/>
    </font>
    <font>
      <sz val="10"/>
    </font>
    <font>
      <b val="1"/>
      <color rgb="00C53929"/>
      <sz val="10"/>
    </font>
    <font>
      <b val="1"/>
      <sz val="11"/>
    </font>
    <font>
      <b val="1"/>
      <color rgb="0027AE60"/>
      <sz val="11"/>
    </font>
    <font>
      <sz val="9"/>
    </font>
    <font>
      <b val="1"/>
      <color rgb="001B7A3D"/>
      <sz val="9"/>
    </font>
    <font>
      <b val="1"/>
      <color rgb="00B26B00"/>
      <sz val="9"/>
    </font>
    <font>
      <b val="1"/>
      <color rgb="00C53929"/>
      <sz val="9"/>
    </font>
    <font>
      <b val="1"/>
      <color rgb="00C53929"/>
      <sz val="11"/>
    </font>
  </fonts>
  <fills count="8">
    <fill>
      <patternFill/>
    </fill>
    <fill>
      <patternFill patternType="gray125"/>
    </fill>
    <fill>
      <patternFill patternType="solid">
        <fgColor rgb="001A1A2E"/>
      </patternFill>
    </fill>
    <fill>
      <patternFill patternType="solid">
        <fgColor rgb="00FDEDEC"/>
      </patternFill>
    </fill>
    <fill>
      <patternFill patternType="solid">
        <fgColor rgb="00FEF5E7"/>
      </patternFill>
    </fill>
    <fill>
      <patternFill patternType="solid">
        <fgColor rgb="00EAF7EF"/>
      </patternFill>
    </fill>
    <fill>
      <patternFill patternType="solid">
        <fgColor rgb="00F4F6F8"/>
      </patternFill>
    </fill>
    <fill>
      <patternFill patternType="solid">
        <fgColor rgb="0000BFFF"/>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4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left" vertical="top" wrapText="1"/>
    </xf>
    <xf numFmtId="0" fontId="0" fillId="0" borderId="1" pivotButton="0" quotePrefix="0" xfId="0"/>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0" pivotButton="0" quotePrefix="0" xfId="0"/>
    <xf numFmtId="0" fontId="9" fillId="0" borderId="0" pivotButton="0" quotePrefix="0" xfId="0"/>
    <xf numFmtId="0" fontId="11" fillId="0" borderId="0" pivotButton="0" quotePrefix="0" xfId="0"/>
    <xf numFmtId="0" fontId="12" fillId="7" borderId="0" applyAlignment="1" pivotButton="0" quotePrefix="0" xfId="0">
      <alignment horizontal="left" vertical="center"/>
    </xf>
    <xf numFmtId="0" fontId="1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0" applyAlignment="1" pivotButton="0" quotePrefix="0" xfId="0">
      <alignment horizontal="center" vertical="center" wrapText="1"/>
    </xf>
    <xf numFmtId="0" fontId="15" fillId="0" borderId="0" applyAlignment="1" pivotButton="0" quotePrefix="0" xfId="0">
      <alignment horizontal="left" vertical="top" wrapText="1"/>
    </xf>
    <xf numFmtId="0" fontId="16" fillId="0" borderId="0" applyAlignment="1" pivotButton="0" quotePrefix="0" xfId="0">
      <alignment horizontal="center" vertical="center" wrapText="1"/>
    </xf>
    <xf numFmtId="0" fontId="13" fillId="0" borderId="0" applyAlignment="1" pivotButton="0" quotePrefix="0" xfId="0">
      <alignment horizontal="left" vertical="top" wrapText="1"/>
    </xf>
    <xf numFmtId="0" fontId="17" fillId="0" borderId="0" pivotButton="0" quotePrefix="0" xfId="0"/>
    <xf numFmtId="0" fontId="18" fillId="0" borderId="0" pivotButton="0" quotePrefix="0" xfId="0"/>
    <xf numFmtId="0" fontId="12" fillId="2" borderId="1" applyAlignment="1" pivotButton="0" quotePrefix="0" xfId="0">
      <alignment horizontal="center" vertical="center" wrapText="1"/>
    </xf>
    <xf numFmtId="0" fontId="19" fillId="0" borderId="1" applyAlignment="1" pivotButton="0" quotePrefix="0" xfId="0">
      <alignment horizontal="left" vertical="top"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21" fillId="0" borderId="0" pivotButton="0" quotePrefix="0" xfId="0"/>
    <xf numFmtId="0" fontId="2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9" fillId="0" borderId="0" applyAlignment="1" pivotButton="0" quotePrefix="0" xfId="0">
      <alignment horizontal="left" vertical="top" wrapText="1"/>
    </xf>
    <xf numFmtId="0" fontId="23" fillId="0" borderId="1" applyAlignment="1" pivotButton="0" quotePrefix="0" xfId="0">
      <alignment horizontal="left" vertical="top" wrapText="1"/>
    </xf>
    <xf numFmtId="0" fontId="23"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6" fillId="0" borderId="1" applyAlignment="1" pivotButton="0" quotePrefix="0" xfId="0">
      <alignment horizontal="center" vertical="center" wrapText="1"/>
    </xf>
    <xf numFmtId="0" fontId="27" fillId="0" borderId="0" applyAlignment="1" pivotButton="0" quotePrefix="0" xfId="0">
      <alignment horizontal="left" vertical="top" wrapText="1"/>
    </xf>
  </cellXfs>
  <cellStyles count="1">
    <cellStyle name="Normal" xfId="0" builtinId="0" hidden="0"/>
  </cellStyles>
  <dxfs count="5">
    <dxf>
      <font>
        <b val="1"/>
        <color rgb="001B5E20"/>
      </font>
      <fill>
        <patternFill patternType="solid">
          <bgColor rgb="00C8E6C9"/>
        </patternFill>
      </fill>
    </dxf>
    <dxf>
      <font>
        <b val="1"/>
        <color rgb="007F4F00"/>
      </font>
      <fill>
        <patternFill patternType="solid">
          <bgColor rgb="00FFE0B2"/>
        </patternFill>
      </fill>
    </dxf>
    <dxf>
      <font>
        <b val="1"/>
        <color rgb="008E1B1B"/>
      </font>
      <fill>
        <patternFill patternType="solid">
          <bgColor rgb="00FFCDD2"/>
        </patternFill>
      </fill>
    </dxf>
    <dxf>
      <font>
        <b val="1"/>
        <color rgb="00E74C3C"/>
      </font>
      <fill>
        <patternFill patternType="solid">
          <bgColor rgb="00FFCDD2"/>
        </patternFill>
      </fill>
    </dxf>
    <dxf>
      <font>
        <color rgb="00666666"/>
      </font>
      <fill>
        <patternFill patternType="solid">
          <bgColor rgb="00E8EA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34" customWidth="1" min="1" max="1"/>
    <col width="13" customWidth="1" min="2" max="2"/>
    <col width="22" customWidth="1" min="3" max="3"/>
    <col width="22" customWidth="1" min="4" max="4"/>
    <col width="22" customWidth="1" min="5" max="5"/>
    <col width="13" customWidth="1" min="6" max="6"/>
  </cols>
  <sheetData>
    <row r="1" ht="24" customHeight="1">
      <c r="A1" s="1" t="inlineStr">
        <is>
          <t>IEEE LA-CCI 2026 · Paper 47 · Q-Shield — Resumen de revisiones</t>
        </is>
      </c>
    </row>
    <row r="2" ht="16" customHeight="1">
      <c r="A2" s="2" t="inlineStr">
        <is>
          <t>Aceptado para presentacion y publicacion. Limite duro: 6 paginas IEEE conference.</t>
        </is>
      </c>
    </row>
    <row r="4">
      <c r="A4" s="3" t="inlineStr">
        <is>
          <t>DATOS DEL PAPER</t>
        </is>
      </c>
    </row>
    <row r="5">
      <c r="A5" s="4" t="inlineStr">
        <is>
          <t>Paper ID</t>
        </is>
      </c>
      <c r="B5" s="5" t="inlineStr">
        <is>
          <t>47</t>
        </is>
      </c>
    </row>
    <row r="6">
      <c r="A6" s="4" t="inlineStr">
        <is>
          <t>Titulo</t>
        </is>
      </c>
      <c r="B6" s="5" t="inlineStr">
        <is>
          <t>Q-Shield: An Explainable Multimodal Framework for QR Code Phishing (Quishing) Detection Using Siamese Visual and Offline URL Analysis</t>
        </is>
      </c>
    </row>
    <row r="7">
      <c r="A7" s="4" t="inlineStr">
        <is>
          <t>Autores</t>
        </is>
      </c>
      <c r="B7" s="5" t="inlineStr">
        <is>
          <t>Nicolas Llerena, Rensso Mora-Colque, Aurea Soriano-Vargas</t>
        </is>
      </c>
    </row>
    <row r="8">
      <c r="A8" s="4" t="inlineStr">
        <is>
          <t>Decision</t>
        </is>
      </c>
      <c r="B8" s="5" t="inlineStr">
        <is>
          <t>ACEPTADO (presentacion + proceedings IEEE)</t>
        </is>
      </c>
    </row>
    <row r="9">
      <c r="A9" s="4" t="inlineStr">
        <is>
          <t>Limite de paginas</t>
        </is>
      </c>
      <c r="B9" s="5" t="inlineStr">
        <is>
          <t>6 paginas (IEEEtran conference) — NO exceder</t>
        </is>
      </c>
    </row>
    <row r="10">
      <c r="A10" s="4" t="inlineStr">
        <is>
          <t>Estado actual</t>
        </is>
      </c>
      <c r="B10" s="5" t="inlineStr">
        <is>
          <t>6 paginas exactas (PDF compilado) — margen cero</t>
        </is>
      </c>
    </row>
    <row r="11">
      <c r="A11" s="4" t="inlineStr">
        <is>
          <t>Siguiente hito</t>
        </is>
      </c>
      <c r="B11" s="5" t="inlineStr">
        <is>
          <t>Camera-ready segun instrucciones IEEE + presentacion (PPT)</t>
        </is>
      </c>
    </row>
    <row r="13">
      <c r="A13" s="3" t="inlineStr">
        <is>
          <t>PUNTAJES POR CRITERIO</t>
        </is>
      </c>
    </row>
    <row r="14" ht="30" customHeight="1">
      <c r="A14" s="6" t="inlineStr">
        <is>
          <t>Criterio</t>
        </is>
      </c>
      <c r="B14" s="6" t="inlineStr">
        <is>
          <t>Peso</t>
        </is>
      </c>
      <c r="C14" s="6" t="inlineStr">
        <is>
          <t>Rev. 1</t>
        </is>
      </c>
      <c r="D14" s="6" t="inlineStr">
        <is>
          <t>Rev. 2</t>
        </is>
      </c>
      <c r="E14" s="6" t="inlineStr">
        <is>
          <t>Rev. 3</t>
        </is>
      </c>
      <c r="F14" s="6" t="inlineStr">
        <is>
          <t>Promedio</t>
        </is>
      </c>
    </row>
    <row r="15">
      <c r="A15" s="7" t="inlineStr">
        <is>
          <t>Appropriateness</t>
        </is>
      </c>
      <c r="B15" s="8" t="inlineStr">
        <is>
          <t>20%</t>
        </is>
      </c>
      <c r="C15" s="9" t="n">
        <v>5</v>
      </c>
      <c r="D15" s="9" t="n">
        <v>5</v>
      </c>
      <c r="E15" s="9" t="n">
        <v>4</v>
      </c>
      <c r="F15" s="8">
        <f>ROUND(AVERAGE(C15:E15),2)</f>
        <v/>
      </c>
    </row>
    <row r="16">
      <c r="A16" s="7" t="inlineStr">
        <is>
          <t>Background and references</t>
        </is>
      </c>
      <c r="B16" s="8" t="inlineStr">
        <is>
          <t>10%</t>
        </is>
      </c>
      <c r="C16" s="9" t="n">
        <v>5</v>
      </c>
      <c r="D16" s="9" t="n">
        <v>4</v>
      </c>
      <c r="E16" s="9" t="n">
        <v>4</v>
      </c>
      <c r="F16" s="8">
        <f>ROUND(AVERAGE(C16:E16),2)</f>
        <v/>
      </c>
    </row>
    <row r="17">
      <c r="A17" s="7" t="inlineStr">
        <is>
          <t>Scientific/Technologic Contribution</t>
        </is>
      </c>
      <c r="B17" s="8" t="inlineStr">
        <is>
          <t>25%</t>
        </is>
      </c>
      <c r="C17" s="9" t="n">
        <v>4</v>
      </c>
      <c r="D17" s="9" t="n">
        <v>5</v>
      </c>
      <c r="E17" s="9" t="n">
        <v>4</v>
      </c>
      <c r="F17" s="8">
        <f>ROUND(AVERAGE(C17:E17),2)</f>
        <v/>
      </c>
    </row>
    <row r="18">
      <c r="A18" s="7" t="inlineStr">
        <is>
          <t>Methodology, Results and Conclusion</t>
        </is>
      </c>
      <c r="B18" s="8" t="inlineStr">
        <is>
          <t>15%</t>
        </is>
      </c>
      <c r="C18" s="9" t="n">
        <v>5</v>
      </c>
      <c r="D18" s="9" t="n">
        <v>4</v>
      </c>
      <c r="E18" s="9" t="n">
        <v>4</v>
      </c>
      <c r="F18" s="8">
        <f>ROUND(AVERAGE(C18:E18),2)</f>
        <v/>
      </c>
    </row>
    <row r="19">
      <c r="A19" s="7" t="inlineStr">
        <is>
          <t>Structure and Language</t>
        </is>
      </c>
      <c r="B19" s="8" t="inlineStr">
        <is>
          <t>5%</t>
        </is>
      </c>
      <c r="C19" s="9" t="n">
        <v>5</v>
      </c>
      <c r="D19" s="9" t="n">
        <v>4</v>
      </c>
      <c r="E19" s="9" t="n">
        <v>4</v>
      </c>
      <c r="F19" s="8">
        <f>ROUND(AVERAGE(C19:E19),2)</f>
        <v/>
      </c>
    </row>
    <row r="20">
      <c r="A20" s="10" t="inlineStr">
        <is>
          <t>Evaluacion global (escala accept)</t>
        </is>
      </c>
      <c r="B20" s="8" t="inlineStr">
        <is>
          <t>25%</t>
        </is>
      </c>
      <c r="C20" s="11" t="inlineStr">
        <is>
          <t>3 (strong accept)</t>
        </is>
      </c>
      <c r="D20" s="11" t="inlineStr">
        <is>
          <t>2 (accept)</t>
        </is>
      </c>
      <c r="E20" s="11" t="inlineStr">
        <is>
          <t>2 (accept)</t>
        </is>
      </c>
      <c r="F20" s="8" t="inlineStr">
        <is>
          <t>—</t>
        </is>
      </c>
    </row>
    <row r="21">
      <c r="A21" s="10" t="inlineStr">
        <is>
          <t>Confianza del revisor</t>
        </is>
      </c>
      <c r="B21" s="8" t="inlineStr">
        <is>
          <t>—</t>
        </is>
      </c>
      <c r="C21" s="9" t="inlineStr">
        <is>
          <t>4 (alta)</t>
        </is>
      </c>
      <c r="D21" s="9" t="inlineStr">
        <is>
          <t>4 (alta)</t>
        </is>
      </c>
      <c r="E21" s="9" t="inlineStr">
        <is>
          <t>3 (media)</t>
        </is>
      </c>
      <c r="F21" s="8" t="inlineStr">
        <is>
          <t>—</t>
        </is>
      </c>
    </row>
    <row r="22">
      <c r="A22" s="12" t="inlineStr">
        <is>
          <t>Puntaje ponderado (5 criterios, base 75%)</t>
        </is>
      </c>
      <c r="B22" s="13" t="n"/>
      <c r="C22" s="14">
        <f>ROUND((C15*0.2+C16*0.1+C17*0.25+C18*0.15+C19*0.05)/0.75,2)</f>
        <v/>
      </c>
      <c r="D22" s="14">
        <f>ROUND((D15*0.2+D16*0.1+D17*0.25+D18*0.15+D19*0.05)/0.75,2)</f>
        <v/>
      </c>
      <c r="E22" s="14">
        <f>ROUND((E15*0.2+E16*0.1+E17*0.25+E18*0.15+E19*0.05)/0.75,2)</f>
        <v/>
      </c>
      <c r="F22" s="14">
        <f>ROUND(AVERAGE(C22:E22),2)</f>
        <v/>
      </c>
    </row>
    <row r="24">
      <c r="A24" s="3" t="inlineStr">
        <is>
          <t>LECTURA RAPIDA</t>
        </is>
      </c>
    </row>
    <row r="25" ht="46" customHeight="1">
      <c r="A25" s="4" t="inlineStr">
        <is>
          <t>Revisor 1 (strong accept)</t>
        </is>
      </c>
      <c r="B25" s="5" t="inlineStr">
        <is>
          <t>Solo elogios + 3 'pitfalls' que el propio revisor reconoce como YA discutidos en la seccion de limitaciones. No exige cambios. Sus 5 highlights son material de oro para el PPT (ver hoja 'Fortalezas_PPT').</t>
        </is>
      </c>
    </row>
    <row r="26" ht="46" customHeight="1">
      <c r="A26" s="4" t="inlineStr">
        <is>
          <t>Revisor 2 (accept)</t>
        </is>
      </c>
      <c r="B26" s="5" t="inlineStr">
        <is>
          <t>Es el que pide cambios reales y todos son ESTRUCTURALES, no de contenido nuevo: condensar la introduccion, aclarar el takeaway, y arreglar la conclusion para que cierre los 3 objetivos de la introduccion. Barato en paginas, alto impacto.</t>
        </is>
      </c>
    </row>
    <row r="27" ht="46" customHeight="1">
      <c r="A27" s="4" t="inlineStr">
        <is>
          <t>Revisor 3 (accept)</t>
        </is>
      </c>
      <c r="B27" s="5" t="inlineStr">
        <is>
          <t>Dos huecos concretos: falta complejidad computacional y falta describir el modulo de fusion. Ambos datos YA EXISTEN en el repo (docs/results/final_audit_report.json y src/qshield/models/fusion.py) — es transcribir, no re-experimentar.</t>
        </is>
      </c>
    </row>
    <row r="28" ht="46" customHeight="1">
      <c r="A28" s="4" t="inlineStr">
        <is>
          <t>Riesgo de paginas</t>
        </is>
      </c>
      <c r="B28" s="5" t="inlineStr">
        <is>
          <t>Los recortes del Rev. 2 liberan ~27 lineas y las adiciones del Rev. 3 + Rev. 2 cuestan ~30. Queda al filo: comprimir Related Work (II-D y II-E) NO es opcional. Ver hoja 'Presupuesto_6pag'.</t>
        </is>
      </c>
    </row>
  </sheetData>
  <mergeCells count="13">
    <mergeCell ref="A2:F2"/>
    <mergeCell ref="B7:F7"/>
    <mergeCell ref="B6:F6"/>
    <mergeCell ref="B10:F10"/>
    <mergeCell ref="A1:F1"/>
    <mergeCell ref="B11:F11"/>
    <mergeCell ref="B25:F25"/>
    <mergeCell ref="B5:F5"/>
    <mergeCell ref="B28:F28"/>
    <mergeCell ref="B8:F8"/>
    <mergeCell ref="B26:F26"/>
    <mergeCell ref="B9:F9"/>
    <mergeCell ref="B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showGridLines="0" workbookViewId="0">
      <pane ySplit="4" topLeftCell="A5" activePane="bottomLeft" state="frozen"/>
      <selection pane="bottomLeft" activeCell="A1" sqref="A1"/>
    </sheetView>
  </sheetViews>
  <sheetFormatPr baseColWidth="8" defaultRowHeight="15"/>
  <cols>
    <col width="5" customWidth="1" min="1" max="1"/>
    <col width="42" customWidth="1" min="2" max="2"/>
    <col width="20" customWidth="1" min="3" max="3"/>
    <col width="17" customWidth="1" min="4" max="4"/>
    <col width="62" customWidth="1" min="5" max="5"/>
    <col width="38" customWidth="1" min="6" max="6"/>
  </cols>
  <sheetData>
    <row r="1">
      <c r="A1" s="30" t="inlineStr">
        <is>
          <t>Verificacion de la tabla de la asesora (LACCI 47) contra paper/main.tex</t>
        </is>
      </c>
    </row>
    <row r="2">
      <c r="A2" s="31" t="inlineStr">
        <is>
          <t>Verificado el 2026-08-11 sobre la version actual de paper/main.tex. 'VERIFICADO' = comprobado en el archivo, no asumido.</t>
        </is>
      </c>
    </row>
    <row r="4" ht="28" customHeight="1">
      <c r="A4" s="32" t="inlineStr">
        <is>
          <t>#</t>
        </is>
      </c>
      <c r="B4" s="32" t="inlineStr">
        <is>
          <t>Observacion de la asesora</t>
        </is>
      </c>
      <c r="C4" s="32" t="inlineStr">
        <is>
          <t>Prioridad que puso</t>
        </is>
      </c>
      <c r="D4" s="32" t="inlineStr">
        <is>
          <t>Estado real</t>
        </is>
      </c>
      <c r="E4" s="32" t="inlineStr">
        <is>
          <t>Evidencia en el archivo</t>
        </is>
      </c>
      <c r="F4" s="32" t="inlineStr">
        <is>
          <t>Accion</t>
        </is>
      </c>
    </row>
    <row r="5" ht="62" customHeight="1">
      <c r="A5" s="14" t="n">
        <v>1</v>
      </c>
      <c r="B5" s="40" t="inlineStr">
        <is>
          <t>Describir el modelo de fusion (R3)</t>
        </is>
      </c>
      <c r="C5" s="41" t="inlineStr">
        <is>
          <t>Alta - ya resuelto</t>
        </is>
      </c>
      <c r="D5" s="42" t="inlineStr">
        <is>
          <t>CUMPLE</t>
        </is>
      </c>
      <c r="E5" s="40" t="inlineStr">
        <is>
          <t>III-C define z=[l_v,l_t,f], capa oculta de 16 ReLU, 81 parametros, focal loss, AdamW 1e-3, 20 epocas, y por que se eligio fusion a nivel de logit.</t>
        </is>
      </c>
      <c r="F5" s="40" t="inlineStr">
        <is>
          <t>Ninguna</t>
        </is>
      </c>
    </row>
    <row r="6" ht="62" customHeight="1">
      <c r="A6" s="14" t="n">
        <v>2</v>
      </c>
      <c r="B6" s="40" t="inlineStr">
        <is>
          <t>La figura etiqueta mal el logit visual: dice 'Text Logit' donde deberia decir 'Visual Logit'</t>
        </is>
      </c>
      <c r="C6" s="41" t="inlineStr">
        <is>
          <t>ALTA - pendiente</t>
        </is>
      </c>
      <c r="D6" s="42" t="inlineStr">
        <is>
          <t>RESUELTO</t>
        </is>
      </c>
      <c r="E6" s="40" t="inlineStr">
        <is>
          <t>CONFIRMADO: extraje el texto vectorial de la Fig. 1 del PDF compilado y la caja de la rama visual decia literalmente 'Text / Logit / (l_v)'. La asesora tenia razon.</t>
        </is>
      </c>
      <c r="F6" s="40" t="inlineStr">
        <is>
          <t>Figura nueva generada y verificada: dice 'Visual Logit'. Guardada como figures/fig_pipeline.png (3072x1376, 436 DPI). main.tex ya apunta a ella. SUBIR fig_pipeline.png a Overleaf.</t>
        </is>
      </c>
    </row>
    <row r="7" ht="62" customHeight="1">
      <c r="A7" s="14" t="n">
        <v>3</v>
      </c>
      <c r="B7" s="40" t="inlineStr">
        <is>
          <t>Falta complejidad computacional (R3)</t>
        </is>
      </c>
      <c r="C7" s="41" t="inlineStr">
        <is>
          <t>Alta - ya resuelto</t>
        </is>
      </c>
      <c r="D7" s="42" t="inlineStr">
        <is>
          <t>CUMPLE</t>
        </is>
      </c>
      <c r="E7" s="40" t="inlineStr">
        <is>
          <t>IV-E reporta 3.08M/25ms, 6.16M/100ms, 69.1M/~100ms; Tabla VI con columna Params/Lat.; se dice que DistilBERT domina y que la cabeza de fusion son 81 parametros.</t>
        </is>
      </c>
      <c r="F7" s="40" t="inlineStr">
        <is>
          <t>Ninguna</t>
        </is>
      </c>
    </row>
    <row r="8" ht="62" customHeight="1">
      <c r="A8" s="14" t="n">
        <v>4</v>
      </c>
      <c r="B8" s="40" t="inlineStr">
        <is>
          <t>Conectar la complejidad con el metodo</t>
        </is>
      </c>
      <c r="C8" s="41" t="inlineStr">
        <is>
          <t>Media - ya resuelto</t>
        </is>
      </c>
      <c r="D8" s="42" t="inlineStr">
        <is>
          <t>CUMPLE</t>
        </is>
      </c>
      <c r="E8" s="40" t="inlineStr">
        <is>
          <t>III-C remite a la seccion de experimentos y IV-E cierra el circulo con la Tabla VI.</t>
        </is>
      </c>
      <c r="F8" s="40" t="inlineStr">
        <is>
          <t>Ninguna</t>
        </is>
      </c>
    </row>
    <row r="9" ht="62" customHeight="1">
      <c r="A9" s="14" t="n">
        <v>5</v>
      </c>
      <c r="B9" s="40" t="inlineStr">
        <is>
          <t>Precisar la afirmacion O(1)</t>
        </is>
      </c>
      <c r="C9" s="41" t="inlineStr">
        <is>
          <t>Media - ya resuelto</t>
        </is>
      </c>
      <c r="D9" s="42" t="inlineStr">
        <is>
          <t>CUMPLE</t>
        </is>
      </c>
      <c r="E9" s="40" t="inlineStr">
        <is>
          <t>IV-E: 'Inference is O(1) per sample---independent of corpus size---and both configurations remain within typical mobile interaction budgets.'</t>
        </is>
      </c>
      <c r="F9" s="40" t="inlineStr">
        <is>
          <t>Ninguna</t>
        </is>
      </c>
    </row>
    <row r="10" ht="62" customHeight="1">
      <c r="A10" s="14" t="n">
        <v>6</v>
      </c>
      <c r="B10" s="40" t="inlineStr">
        <is>
          <t>Introduccion repetitiva/densa (R2)</t>
        </is>
      </c>
      <c r="C10" s="41" t="inlineStr">
        <is>
          <t>Media - casi resuelto</t>
        </is>
      </c>
      <c r="D10" s="42" t="inlineStr">
        <is>
          <t>CUMPLE</t>
        </is>
      </c>
      <c r="E10" s="40" t="inlineStr">
        <is>
          <t>El parrafo de 'Existing defenses' se condenso de 1237 a 962 caracteres y la dependencia del decodificado se menciona una sola vez.</t>
        </is>
      </c>
      <c r="F10" s="40" t="inlineStr">
        <is>
          <t>Ninguna</t>
        </is>
      </c>
    </row>
    <row r="11" ht="62" customHeight="1">
      <c r="A11" s="14" t="n">
        <v>7</v>
      </c>
      <c r="B11" s="40" t="inlineStr">
        <is>
          <t>Transicion directa hacia Q-Shield</t>
        </is>
      </c>
      <c r="C11" s="41" t="inlineStr">
        <is>
          <t>Media - ya resuelto</t>
        </is>
      </c>
      <c r="D11" s="42" t="inlineStr">
        <is>
          <t>CUMPLE</t>
        </is>
      </c>
      <c r="E11" s="40" t="inlineStr">
        <is>
          <t>Se conserva 'We therefore frame quishing detection as a two-stage problem...' tal como pide.</t>
        </is>
      </c>
      <c r="F11" s="40" t="inlineStr">
        <is>
          <t>Ninguna</t>
        </is>
      </c>
    </row>
    <row r="12" ht="62" customHeight="1">
      <c r="A12" s="14" t="n">
        <v>8</v>
      </c>
      <c r="B12" s="40" t="inlineStr">
        <is>
          <t>Incluir organizacion del paper (R2)</t>
        </is>
      </c>
      <c r="C12" s="41" t="inlineStr">
        <is>
          <t>Hecho</t>
        </is>
      </c>
      <c r="D12" s="42" t="inlineStr">
        <is>
          <t>CUMPLE</t>
        </is>
      </c>
      <c r="E12" s="40" t="inlineStr">
        <is>
          <t>Ultimo parrafo de la Introduccion describe las Secciones II a V y anuncia que V retoma los tres objetivos.</t>
        </is>
      </c>
      <c r="F12" s="40" t="inlineStr">
        <is>
          <t>Ninguna</t>
        </is>
      </c>
    </row>
    <row r="13" ht="62" customHeight="1">
      <c r="A13" s="14" t="n">
        <v>9</v>
      </c>
      <c r="B13" s="40" t="inlineStr">
        <is>
          <t>Metodologia densa (R2)</t>
        </is>
      </c>
      <c r="C13" s="41" t="inlineStr">
        <is>
          <t>Media - ya resuelto</t>
        </is>
      </c>
      <c r="D13" s="42" t="inlineStr">
        <is>
          <t>CUMPLE</t>
        </is>
      </c>
      <c r="E13" s="40" t="inlineStr">
        <is>
          <t>Division Visual/Text/Fusion intacta; se acortaron frases y se quitaron las que repetian los captions, sin anadir contenido tecnico nuevo.</t>
        </is>
      </c>
      <c r="F13" s="40" t="inlineStr">
        <is>
          <t>Ninguna</t>
        </is>
      </c>
    </row>
    <row r="14" ht="62" customHeight="1">
      <c r="A14" s="14" t="n">
        <v>10</v>
      </c>
      <c r="B14" s="40" t="inlineStr">
        <is>
          <t>Sobreajuste leve en Fase 2 (R1)</t>
        </is>
      </c>
      <c r="C14" s="41" t="inlineStr">
        <is>
          <t>Baja - bien resuelto</t>
        </is>
      </c>
      <c r="D14" s="42" t="inlineStr">
        <is>
          <t>CUMPLE</t>
        </is>
      </c>
      <c r="E14" s="40" t="inlineStr">
        <is>
          <t>III-A: 'early stopping at epoch 8, where validation loss is minimal and validation AUC peaks, which also controls the mild train--validation divergence'. El caption de la Fig. 3 lo muestra.</t>
        </is>
      </c>
      <c r="F14" s="40" t="inlineStr">
        <is>
          <t>Ninguna</t>
        </is>
      </c>
    </row>
    <row r="15" ht="62" customHeight="1">
      <c r="A15" s="14" t="n">
        <v>11</v>
      </c>
      <c r="B15" s="40" t="inlineStr">
        <is>
          <t>FNR 0.199 del fallback visual (R1)</t>
        </is>
      </c>
      <c r="C15" s="41" t="inlineStr">
        <is>
          <t>Baja - resuelto</t>
        </is>
      </c>
      <c r="D15" s="42" t="inlineStr">
        <is>
          <t>CUMPLE</t>
        </is>
      </c>
      <c r="E15" s="40" t="inlineStr">
        <is>
          <t>Tabla VI conserva el barrido tau = 0.50 / 0.40 / 0.30, con tau=0.30 dando FNR 0.039 y precision 0.607.</t>
        </is>
      </c>
      <c r="F15" s="40" t="inlineStr">
        <is>
          <t>Ninguna</t>
        </is>
      </c>
    </row>
    <row r="16" ht="62" customHeight="1">
      <c r="A16" s="14" t="n">
        <v>12</v>
      </c>
      <c r="B16" s="40" t="inlineStr">
        <is>
          <t>Hacer explicito el trade-off de seguridad</t>
        </is>
      </c>
      <c r="C16" s="41" t="inlineStr">
        <is>
          <t>Media - done</t>
        </is>
      </c>
      <c r="D16" s="43" t="inlineStr">
        <is>
          <t>ANADIDO HOY</t>
        </is>
      </c>
      <c r="E16" s="40" t="inlineStr">
        <is>
          <t>NO estaba en el archivo pese al 'done'. Se agrego tras la Tabla VI la frase que pide: 'Threshold selection is therefore a deployment-specific trade-off between missed attacks and false alarms...'</t>
        </is>
      </c>
      <c r="F16" s="40" t="inlineStr">
        <is>
          <t>Anadido</t>
        </is>
      </c>
    </row>
    <row r="17" ht="62" customHeight="1">
      <c r="A17" s="14" t="n">
        <v>13</v>
      </c>
      <c r="B17" s="40" t="inlineStr">
        <is>
          <t>Falta de contexto externo (R1)</t>
        </is>
      </c>
      <c r="C17" s="41" t="inlineStr">
        <is>
          <t>Media-Alta - done</t>
        </is>
      </c>
      <c r="D17" s="44" t="inlineStr">
        <is>
          <t>PARCIAL</t>
        </is>
      </c>
      <c r="E17" s="40" t="inlineStr">
        <is>
          <t>El contenido esta (se propone una tercera rama sobre metadatos del mensaje), pero sigue dentro de la Conclusion, no en una subseccion propia antes de ella. La asesora dice: 'The key change is where this material appears.'</t>
        </is>
      </c>
      <c r="F17" s="40" t="inlineStr">
        <is>
          <t>Ver nota sobre los items 13/14/15/19</t>
        </is>
      </c>
    </row>
    <row r="18" ht="62" customHeight="1">
      <c r="A18" s="14" t="n">
        <v>14</v>
      </c>
      <c r="B18" s="40" t="inlineStr">
        <is>
          <t>La conclusion abre trabajo futuro en vez de solo concluir (R2)</t>
        </is>
      </c>
      <c r="C18" s="41" t="inlineStr">
        <is>
          <t>Alta - 'not to do'</t>
        </is>
      </c>
      <c r="D18" s="44" t="inlineStr">
        <is>
          <t>AMBIGUO</t>
        </is>
      </c>
      <c r="E18" s="40" t="inlineStr">
        <is>
          <t>El ultimo parrafo de V si contiene trabajo futuro. Pero la asesora marco 'not to do' y por WhatsApp dijo que con la figura ya estariamos para enviar.</t>
        </is>
      </c>
      <c r="F18" s="40" t="inlineStr">
        <is>
          <t>PREGUNTAR: su texto dice 'I would still change', su estado dice 'not to do'.</t>
        </is>
      </c>
    </row>
    <row r="19" ht="62" customHeight="1">
      <c r="A19" s="14" t="n">
        <v>15</v>
      </c>
      <c r="B19" s="40" t="inlineStr">
        <is>
          <t>Sacar las reflexiones amplias de la Conclusion (R2)</t>
        </is>
      </c>
      <c r="C19" s="41" t="inlineStr">
        <is>
          <t>Media-Alta - 'not to do'</t>
        </is>
      </c>
      <c r="D19" s="42" t="inlineStr">
        <is>
          <t>CUMPLE PARCIAL</t>
        </is>
      </c>
      <c r="E19" s="40" t="inlineStr">
        <is>
          <t>'More broadly, it is best viewed as one layer...' ya esta FUERA de la Conclusion (esta en IV-E), que es lo que ella pedia. Sugiere ademas moverla a una subseccion de Deployment Considerations.</t>
        </is>
      </c>
      <c r="F19" s="40" t="inlineStr">
        <is>
          <t>Ver nota sobre los items 13/14/15/19</t>
        </is>
      </c>
    </row>
    <row r="20" ht="62" customHeight="1">
      <c r="A20" s="14" t="n">
        <v>16</v>
      </c>
      <c r="B20" s="40" t="inlineStr">
        <is>
          <t>Cerrar explicitamente los tres objetivos (R2)</t>
        </is>
      </c>
      <c r="C20" s="41" t="inlineStr">
        <is>
          <t>Alta - muy bien resuelto</t>
        </is>
      </c>
      <c r="D20" s="42" t="inlineStr">
        <is>
          <t>CUMPLE</t>
        </is>
      </c>
      <c r="E20" s="40" t="inlineStr">
        <is>
          <t>V, parrafo 2: (i) alineacion con el pipeline, (ii) generalizacion, (iii) explicabilidad dual, cada uno con su evidencia numerica.</t>
        </is>
      </c>
      <c r="F20" s="40" t="inlineStr">
        <is>
          <t>Ninguna</t>
        </is>
      </c>
    </row>
    <row r="21" ht="62" customHeight="1">
      <c r="A21" s="14" t="n">
        <v>17</v>
      </c>
      <c r="B21" s="40" t="inlineStr">
        <is>
          <t>Que la conclusion principal no se pierda (R2)</t>
        </is>
      </c>
      <c r="C21" s="41" t="inlineStr">
        <is>
          <t>Media - done</t>
        </is>
      </c>
      <c r="D21" s="42" t="inlineStr">
        <is>
          <t>CUMPLE</t>
        </is>
      </c>
      <c r="E21" s="40" t="inlineStr">
        <is>
          <t>V abre con 'The central finding of this work is that multimodal fusion... FNR 0.202 -&gt; 0.057'.</t>
        </is>
      </c>
      <c r="F21" s="40" t="inlineStr">
        <is>
          <t>Ninguna</t>
        </is>
      </c>
    </row>
    <row r="22" ht="62" customHeight="1">
      <c r="A22" s="14" t="n">
        <v>18</v>
      </c>
      <c r="B22" s="40" t="inlineStr">
        <is>
          <t>La conclusion repite demasiadas cifras</t>
        </is>
      </c>
      <c r="C22" s="41" t="inlineStr">
        <is>
          <t>Media - done</t>
        </is>
      </c>
      <c r="D22" s="42" t="inlineStr">
        <is>
          <t>CUMPLE</t>
        </is>
      </c>
      <c r="E22" s="40" t="inlineStr">
        <is>
          <t>Solo quedan las tres que ella pide conservar: 0.202-&gt;0.057, AUC 0.52-&gt;0.896, y r=0.43.</t>
        </is>
      </c>
      <c r="F22" s="40" t="inlineStr">
        <is>
          <t>Ninguna</t>
        </is>
      </c>
    </row>
    <row r="23" ht="62" customHeight="1">
      <c r="A23" s="14" t="n">
        <v>19</v>
      </c>
      <c r="B23" s="40" t="inlineStr">
        <is>
          <t>La limitacion compite con el mensaje final</t>
        </is>
      </c>
      <c r="C23" s="41" t="inlineStr">
        <is>
          <t>Media - done</t>
        </is>
      </c>
      <c r="D23" s="44" t="inlineStr">
        <is>
          <t>PARCIAL</t>
        </is>
      </c>
      <c r="E23" s="40" t="inlineStr">
        <is>
          <t>'The residual weaknesses are...' sigue en la Conclusion.</t>
        </is>
      </c>
      <c r="F23" s="40" t="inlineStr">
        <is>
          <t>Ver nota sobre los items 13/14/15/19</t>
        </is>
      </c>
    </row>
    <row r="24" ht="62" customHeight="1">
      <c r="A24" s="14" t="n">
        <v>20</v>
      </c>
      <c r="B24" s="40" t="inlineStr">
        <is>
          <t>Pulido de ingles y consistencia</t>
        </is>
      </c>
      <c r="C24" s="41" t="inlineStr">
        <is>
          <t>Baja - done</t>
        </is>
      </c>
      <c r="D24" s="42" t="inlineStr">
        <is>
          <t>VERIFICADO Y CORREGIDO</t>
        </is>
      </c>
      <c r="E24" s="40" t="inlineStr">
        <is>
          <t>Revision automatica: MobileNetV2, DistilBERT, Grad-CAM, SHAP, pyzbar, Q-Shield y los guiones pre-decode/post-decode/visual-only/text-only/cross-dataset/train--validation son todos consistentes. Se encontro y corrigio 'CIC Trap4Phish' -&gt; 'CIC-Trap4Phish' en Agradecimientos.</t>
        </is>
      </c>
      <c r="F24" s="40" t="inlineStr">
        <is>
          <t>Corregido</t>
        </is>
      </c>
    </row>
    <row r="25" ht="62" customHeight="1">
      <c r="A25" s="14" t="n">
        <v>21</v>
      </c>
      <c r="B25" s="40" t="inlineStr">
        <is>
          <t>La terminologia de la Fig. 1 debe coincidir con las ecuaciones</t>
        </is>
      </c>
      <c r="C25" s="41" t="inlineStr">
        <is>
          <t>Media-Alta - pendiente</t>
        </is>
      </c>
      <c r="D25" s="42" t="inlineStr">
        <is>
          <t>RESUELTO</t>
        </is>
      </c>
      <c r="E25" s="40" t="inlineStr">
        <is>
          <t>Verificado en la figura nueva: Visual Logit (l_v), Text Logit (l_t), Decoding Success Flag (f) y Fused Logit (l_f), todos con la ell correcta. Ademas corrige MobilenetV2 -&gt; MobileNetV2 (item 20).</t>
        </is>
      </c>
      <c r="F25" s="40" t="inlineStr">
        <is>
          <t>Resuelto con la misma figura nueva</t>
        </is>
      </c>
    </row>
    <row r="26" ht="62" customHeight="1">
      <c r="A26" s="14" t="n">
        <v>22</v>
      </c>
      <c r="B26" s="40" t="inlineStr">
        <is>
          <t>El claim de explicabilidad suena mas fuerte que la evidencia</t>
        </is>
      </c>
      <c r="C26" s="41" t="inlineStr">
        <is>
          <t>Media - done</t>
        </is>
      </c>
      <c r="D26" s="43" t="inlineStr">
        <is>
          <t>CORREGIDO HOY</t>
        </is>
      </c>
      <c r="E26" s="40" t="inlineStr">
        <is>
          <t>NO estaba aplicado pese al 'done'. Se cambio 'confirming that the learned cues are structural' por 'supporting the interpretation that the learned cues are structural'.</t>
        </is>
      </c>
      <c r="F26" s="40" t="inlineStr">
        <is>
          <t>Corregido</t>
        </is>
      </c>
    </row>
    <row r="27" ht="62" customHeight="1">
      <c r="A27" s="14" t="n">
        <v>23</v>
      </c>
      <c r="B27" s="40" t="inlineStr">
        <is>
          <t>El claim del 'standard FNR &lt;= 0.10' necesita respaldo</t>
        </is>
      </c>
      <c r="C27" s="41" t="inlineStr">
        <is>
          <t>Alta - done</t>
        </is>
      </c>
      <c r="D27" s="43" t="inlineStr">
        <is>
          <t>CORREGIDO HOY</t>
        </is>
      </c>
      <c r="E27" s="40" t="inlineStr">
        <is>
          <t>NO estaba aplicado pese al 'done'. Se cambio 'the standard FNR &lt;= 0.10 security tolerance' por 'the predefined FNR &lt;= 0.10 operational target' en la Conclusion.</t>
        </is>
      </c>
      <c r="F27" s="40" t="inlineStr">
        <is>
          <t>Corregido</t>
        </is>
      </c>
    </row>
    <row r="28" ht="62" customHeight="1">
      <c r="A28" s="14" t="n">
        <v>24</v>
      </c>
      <c r="B28" s="40" t="inlineStr">
        <is>
          <t>'Surpassing prior multimodal approaches' necesita comparacion directa</t>
        </is>
      </c>
      <c r="C28" s="41" t="inlineStr">
        <is>
          <t>Media-Alta - pendiente</t>
        </is>
      </c>
      <c r="D28" s="43" t="inlineStr">
        <is>
          <t>CORREGIDO HOY</t>
        </is>
      </c>
      <c r="E28" s="40" t="inlineStr">
        <is>
          <t>Tenia razon: el paper NO compara de forma directa contra un multimodal previo. Se cambio por 'improving on the visual-only and handcrafted baselines evaluated in this work', que si esta demostrado en la Tabla III.</t>
        </is>
      </c>
      <c r="F28" s="40" t="inlineStr">
        <is>
          <t>Corregido</t>
        </is>
      </c>
    </row>
    <row r="29"/>
    <row r="30">
      <c r="A30" s="45" t="inlineStr">
        <is>
          <t>NOTA SOBRE LOS ITEMS 13 / 14 / 15 / 19 — requieren confirmacion de la asesora</t>
        </is>
      </c>
    </row>
    <row r="31" ht="40" customHeight="1">
      <c r="A31" s="39" t="inlineStr">
        <is>
          <t>Los cuatro apuntan al mismo cambio: crear una subseccion corta al final de la Seccion IV (por ejemplo 'Deployment Considerations and Limitations') y mover ahi las limitaciones, el trabajo futuro y la frase 'More broadly...', dejando la Conclusion terminando solo en lo demostrado.</t>
        </is>
      </c>
    </row>
    <row r="32" ht="40" customHeight="1">
      <c r="A32" s="39" t="inlineStr">
        <is>
          <t>El problema es que su columna de estado dice 'not to do' en los items 14 y 15, pero el texto del item 14 dice 'This is the main reviewer comment that I would still change'. Las dos lecturas se contradicen.</t>
        </is>
      </c>
    </row>
    <row r="33" ht="40" customHeight="1">
      <c r="A33" s="39" t="inlineStr">
        <is>
          <t>Por WhatsApp dijo que con la figura ya estariamos para enviar, asi que se dejo la Conclusion como esta. Si ella confirma que si quiere el cambio, es una reestructuracion de unos 15 minutos y practicamente neutra en espacio (es mover texto, no anadirlo).</t>
        </is>
      </c>
    </row>
  </sheetData>
  <mergeCells count="6">
    <mergeCell ref="A2:F2"/>
    <mergeCell ref="A33:F33"/>
    <mergeCell ref="A1:F1"/>
    <mergeCell ref="A32:F32"/>
    <mergeCell ref="A31:F31"/>
    <mergeCell ref="A30:F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6" customWidth="1" min="2" max="2"/>
    <col width="13" customWidth="1" min="3" max="3"/>
    <col width="20" customWidth="1" min="4" max="4"/>
    <col width="52" customWidth="1" min="5" max="5"/>
    <col width="40" customWidth="1" min="6" max="6"/>
    <col width="62" customWidth="1" min="7" max="7"/>
    <col width="20" customWidth="1" min="8" max="8"/>
    <col width="9" customWidth="1" min="9" max="9"/>
    <col width="10" customWidth="1" min="10" max="10"/>
    <col width="10" customWidth="1" min="11" max="11"/>
    <col width="13" customWidth="1" min="12" max="12"/>
    <col width="40" customWidth="1" min="13" max="13"/>
  </cols>
  <sheetData>
    <row r="1" ht="24" customHeight="1">
      <c r="A1" s="1" t="inlineStr">
        <is>
          <t>Observaciones del jurado — tracker de acciones</t>
        </is>
      </c>
    </row>
    <row r="2" ht="16" customHeight="1">
      <c r="A2" s="2" t="inlineStr">
        <is>
          <t>Marca la columna 'Estado' conforme avances. P1 = obligatorio antes del camera-ready.</t>
        </is>
      </c>
    </row>
    <row r="4" ht="30" customHeight="1">
      <c r="A4" s="6" t="inlineStr">
        <is>
          <t>ID</t>
        </is>
      </c>
      <c r="B4" s="6" t="inlineStr">
        <is>
          <t>Rev.</t>
        </is>
      </c>
      <c r="C4" s="6" t="inlineStr">
        <is>
          <t>Tipo</t>
        </is>
      </c>
      <c r="D4" s="6" t="inlineStr">
        <is>
          <t>Categoria</t>
        </is>
      </c>
      <c r="E4" s="6" t="inlineStr">
        <is>
          <t>Observacion del revisor (verbatim)</t>
        </is>
      </c>
      <c r="F4" s="6" t="inlineStr">
        <is>
          <t>Que pide exactamente</t>
        </is>
      </c>
      <c r="G4" s="6" t="inlineStr">
        <is>
          <t>Accion concreta</t>
        </is>
      </c>
      <c r="H4" s="6" t="inlineStr">
        <is>
          <t>Seccion</t>
        </is>
      </c>
      <c r="I4" s="6" t="inlineStr">
        <is>
          <t>Δ lineas</t>
        </is>
      </c>
      <c r="J4" s="6" t="inlineStr">
        <is>
          <t>Prioridad</t>
        </is>
      </c>
      <c r="K4" s="6" t="inlineStr">
        <is>
          <t>Esfuerzo</t>
        </is>
      </c>
      <c r="L4" s="6" t="inlineStr">
        <is>
          <t>Estado</t>
        </is>
      </c>
      <c r="M4" s="6" t="inlineStr">
        <is>
          <t>Notas</t>
        </is>
      </c>
    </row>
    <row r="5" ht="140" customHeight="1">
      <c r="A5" s="15" t="inlineStr">
        <is>
          <t>R2-1</t>
        </is>
      </c>
      <c r="B5" s="9" t="inlineStr">
        <is>
          <t>2</t>
        </is>
      </c>
      <c r="C5" s="16" t="inlineStr">
        <is>
          <t>Requerido</t>
        </is>
      </c>
      <c r="D5" s="7" t="inlineStr">
        <is>
          <t>Conclusion / Estructura</t>
        </is>
      </c>
      <c r="E5" s="7" t="inlineStr">
        <is>
          <t>The introduction stated three design objectives: (i) alignment with the pipeline, (ii) prioritization of generalization, and (iii) dual-layer explainability. The conclusion does not explicitly revisit these objectives to close the argumentative loop.</t>
        </is>
      </c>
      <c r="F5" s="7" t="inlineStr">
        <is>
          <t>Que la conclusion retome UNO POR UNO los tres objetivos de la introduccion y diga con que evidencia se cumplio cada uno. Simetria introduccion-conclusion.</t>
        </is>
      </c>
      <c r="G5" s="7" t="inlineStr">
        <is>
          <t>Reescribir el 1er parrafo de VI con tres frases explicitas: (i) alineacion con el pipeline -&gt; validada porque la ganancia de la fusion se concentra en el 4.3% no decodificable (FNR 0.202 -&gt; 0.057); (ii) generalizacion -&gt; validada por Exp. 4 (single-corpus AUC 0.52 vs combinado 0.896); (iii) explicabilidad dual -&gt; validada por r=0.43 Grad-CAM entre corpus y ratio inter/intra 1.94 + SHAP.</t>
        </is>
      </c>
      <c r="H5" s="7" t="inlineStr">
        <is>
          <t>VI. Conclusion</t>
        </is>
      </c>
      <c r="I5" s="9" t="inlineStr">
        <is>
          <t>+6</t>
        </is>
      </c>
      <c r="J5" s="9" t="inlineStr">
        <is>
          <t>P1</t>
        </is>
      </c>
      <c r="K5" s="9" t="inlineStr">
        <is>
          <t>Medio</t>
        </is>
      </c>
      <c r="L5" s="9" t="inlineStr">
        <is>
          <t>Hecho</t>
        </is>
      </c>
      <c r="M5" s="7" t="inlineStr">
        <is>
          <t>APLICADO en V. Conclusion: parrafo 2 cierra (i)/(ii)/(iii) una por una con su evidencia.
(original) Es la observacion de mayor impacto: el revisor la explica y hasta la justifica ('highly satisfying for the reader and the reviewer').</t>
        </is>
      </c>
    </row>
    <row r="6" ht="140" customHeight="1">
      <c r="A6" s="15" t="inlineStr">
        <is>
          <t>R2-2</t>
        </is>
      </c>
      <c r="B6" s="9" t="inlineStr">
        <is>
          <t>2</t>
        </is>
      </c>
      <c r="C6" s="16" t="inlineStr">
        <is>
          <t>Requerido</t>
        </is>
      </c>
      <c r="D6" s="7" t="inlineStr">
        <is>
          <t>Conclusion / Alcance</t>
        </is>
      </c>
      <c r="E6" s="7" t="inlineStr">
        <is>
          <t>there is a significant structural inconsistency: the closing section does not conclude the study but rather expands the scope to include future work and general reflections. A conclusion should bring matters to a close, not open new doors. The phrase 'More broadly, Q-Shield should be viewed as...' is excellent for a discussion section, but as a concluding statement, it dilutes the main message.</t>
        </is>
      </c>
      <c r="F6" s="7" t="inlineStr">
        <is>
          <t>La conclusion debe CERRAR, no abrir. Sacar la reflexion general de ecosistema de seguridad del final.</t>
        </is>
      </c>
      <c r="G6" s="7" t="inlineStr">
        <is>
          <t>Mover la frase 'Q-Shield should be viewed as one layer within a larger security ecosystem...' al cierre de la discusion de limitaciones (o eliminarla). Dejar VI con esta estructura: [takeaway] -&gt; [3 objetivos cerrados] -&gt; [limitaciones en 1 frase] -&gt; [future work en 1 frase corta y etiquetada]. Que el ULTIMO enunciado del paper sea sobre lo logrado, no sobre lo pendiente.</t>
        </is>
      </c>
      <c r="H6" s="7" t="inlineStr">
        <is>
          <t>VI. Conclusion</t>
        </is>
      </c>
      <c r="I6" s="9" t="inlineStr">
        <is>
          <t>-3</t>
        </is>
      </c>
      <c r="J6" s="9" t="inlineStr">
        <is>
          <t>P1</t>
        </is>
      </c>
      <c r="K6" s="9" t="inlineStr">
        <is>
          <t>Bajo</t>
        </is>
      </c>
      <c r="L6" s="9" t="inlineStr">
        <is>
          <t>Hecho</t>
        </is>
      </c>
      <c r="M6" s="7" t="inlineStr">
        <is>
          <t>APLICADO: 'More broadly...' movida al final de IV-E. La seccion se retitulo 'Conclusion' y ahora termina con los resultados obtenidos, no con trabajo futuro.
(original) Recorte neto: libera espacio.</t>
        </is>
      </c>
    </row>
    <row r="7" ht="140" customHeight="1">
      <c r="A7" s="15" t="inlineStr">
        <is>
          <t>R2-3</t>
        </is>
      </c>
      <c r="B7" s="9" t="inlineStr">
        <is>
          <t>2</t>
        </is>
      </c>
      <c r="C7" s="16" t="inlineStr">
        <is>
          <t>Requerido</t>
        </is>
      </c>
      <c r="D7" s="7" t="inlineStr">
        <is>
          <t>Introduccion / Redundancia</t>
        </is>
      </c>
      <c r="E7" s="7" t="inlineStr">
        <is>
          <t>The paragraphs of Introduction describing the two categories of defenses contain information that, while necessary, could be condensed. For example, the limitation regarding decoding dependency is mentioned multiple times. Shortening this section would leave more room to elaborate on the proposal or to include the article's structure.</t>
        </is>
      </c>
      <c r="F7" s="7" t="inlineStr">
        <is>
          <t>Condensar los parrafos de 'existing defenses'. La dependencia del decodificado se repite: decirla UNA vez. Con lo liberado: ampliar la propuesta o agregar el roadmap del articulo.</t>
        </is>
      </c>
      <c r="G7" s="7" t="inlineStr">
        <is>
          <t>1) Fusionar los dos parrafos de defensas existentes en uno solo y mencionar la dependencia de decodificado una unica vez (hoy aparece en abstract, intro parrafo 2, related work y experimento 2). 2) Agregar parrafo de roadmap al final de la introduccion: 'The remainder of this paper is organized as follows: Section II reviews related work; Section III presents the Q-Shield architecture; Section IV reports the experimental evaluation; Section V concludes.'</t>
        </is>
      </c>
      <c r="H7" s="7" t="inlineStr">
        <is>
          <t>I. Introduction</t>
        </is>
      </c>
      <c r="I7" s="9" t="inlineStr">
        <is>
          <t>-10 / +4</t>
        </is>
      </c>
      <c r="J7" s="9" t="inlineStr">
        <is>
          <t>P1</t>
        </is>
      </c>
      <c r="K7" s="9" t="inlineStr">
        <is>
          <t>Medio</t>
        </is>
      </c>
      <c r="L7" s="9" t="inlineStr">
        <is>
          <t>Hecho</t>
        </is>
      </c>
      <c r="M7" s="7" t="inlineStr">
        <is>
          <t>APLICADO: los dos parrafos de defensas fusionados en uno (-275 car.) y parrafo de roadmap anadido al final de I.
(original) Recorte neto -6 lineas. Es la fuente principal de espacio para las adiciones del Rev. 3.</t>
        </is>
      </c>
    </row>
    <row r="8" ht="140" customHeight="1">
      <c r="A8" s="15" t="inlineStr">
        <is>
          <t>R2-4</t>
        </is>
      </c>
      <c r="B8" s="9" t="inlineStr">
        <is>
          <t>2</t>
        </is>
      </c>
      <c r="C8" s="16" t="inlineStr">
        <is>
          <t>Requerido</t>
        </is>
      </c>
      <c r="D8" s="7" t="inlineStr">
        <is>
          <t>Claridad / Mensaje</t>
        </is>
      </c>
      <c r="E8" s="7" t="inlineStr">
        <is>
          <t>the study's specific conclusion gets lost amidst the multitude of results</t>
        </is>
      </c>
      <c r="F8" s="7" t="inlineStr">
        <is>
          <t>Con 6 experimentos, el lector no sabe cual es EL hallazgo. Hace falta un takeaway unico y explicito.</t>
        </is>
      </c>
      <c r="G8" s="7" t="inlineStr">
        <is>
          <t>Abrir VI con una sola frase de tesis, por ejemplo: 'The central finding of this work is that multimodal fusion is not an optional refinement but the mechanism that converts a detector with FNR 0.199 into one with FNR 0.057 while preserving coverage on the 4.3% of QR codes that cannot be decoded.' Repetir esa misma frase (adaptada) al final del abstract para que sea consistente.</t>
        </is>
      </c>
      <c r="H8" s="7" t="inlineStr">
        <is>
          <t>V. Abstract / VI. Conclusion</t>
        </is>
      </c>
      <c r="I8" s="9" t="inlineStr">
        <is>
          <t>+2</t>
        </is>
      </c>
      <c r="J8" s="9" t="inlineStr">
        <is>
          <t>P1</t>
        </is>
      </c>
      <c r="K8" s="9" t="inlineStr">
        <is>
          <t>Bajo</t>
        </is>
      </c>
      <c r="L8" s="9" t="inlineStr">
        <is>
          <t>Hecho</t>
        </is>
      </c>
      <c r="M8" s="7" t="inlineStr">
        <is>
          <t>APLICADO: V abre con la frase de tesis unica (FNR 0.202 -&gt; 0.057).
(original) Tambien es la frase con la que conviene abrir y cerrar la exposicion oral.</t>
        </is>
      </c>
    </row>
    <row r="9" ht="140" customHeight="1">
      <c r="A9" s="15" t="inlineStr">
        <is>
          <t>R2-5</t>
        </is>
      </c>
      <c r="B9" s="9" t="inlineStr">
        <is>
          <t>2</t>
        </is>
      </c>
      <c r="C9" s="17" t="inlineStr">
        <is>
          <t>Recomendado</t>
        </is>
      </c>
      <c r="D9" s="7" t="inlineStr">
        <is>
          <t>Metodologia / Densidad</t>
        </is>
      </c>
      <c r="E9" s="7" t="inlineStr">
        <is>
          <t>the presentation of the methodology is dense</t>
        </is>
      </c>
      <c r="F9" s="7" t="inlineStr">
        <is>
          <t>La seccion III es dificil de leer del tirón. Aligerar sin quitar contenido.</t>
        </is>
      </c>
      <c r="G9" s="7" t="inlineStr">
        <is>
          <t>Dar a cada subseccion de III una frase-tesis inicial que diga QUE hace la rama antes de los detalles. Compactar los hiperparametros de Fase 1 y Fase 2 en una sola linea corrida cada uno (AdamW, cosine annealing, early stopping, 40 epocas max / gamma=2, alpha=0.5, backbone congelado 5 epocas) en vez de prosa. Gana legibilidad y libera lineas.</t>
        </is>
      </c>
      <c r="H9" s="7" t="inlineStr">
        <is>
          <t>III. Methodology</t>
        </is>
      </c>
      <c r="I9" s="9" t="inlineStr">
        <is>
          <t>-6</t>
        </is>
      </c>
      <c r="J9" s="9" t="inlineStr">
        <is>
          <t>P1</t>
        </is>
      </c>
      <c r="K9" s="9" t="inlineStr">
        <is>
          <t>Medio</t>
        </is>
      </c>
      <c r="L9" s="9" t="inlineStr">
        <is>
          <t>Hecho</t>
        </is>
      </c>
      <c r="M9" s="7" t="inlineStr">
        <is>
          <t>APLICADO: III aligerado; ademas se quitaron frases que repetian los captions de las Figs. 1 y 2 y el recap de las tres etapas.
(original) Recorte que ademas responde parcialmente a R2-4.</t>
        </is>
      </c>
    </row>
    <row r="10" ht="140" customHeight="1">
      <c r="A10" s="15" t="inlineStr">
        <is>
          <t>R3-1</t>
        </is>
      </c>
      <c r="B10" s="9" t="inlineStr">
        <is>
          <t>3</t>
        </is>
      </c>
      <c r="C10" s="16" t="inlineStr">
        <is>
          <t>Requerido</t>
        </is>
      </c>
      <c r="D10" s="7" t="inlineStr">
        <is>
          <t>Complejidad computacional</t>
        </is>
      </c>
      <c r="E10" s="7" t="inlineStr">
        <is>
          <t>There is no detail on computational complexity.</t>
        </is>
      </c>
      <c r="F10" s="7" t="inlineStr">
        <is>
          <t>El paper reporta latencia (25 ms / 100 ms) pero no parametros, tamano en disco ni costo por configuracion. Falta la caracterizacion de complejidad.</t>
        </is>
      </c>
      <c r="G10" s="7" t="inlineStr">
        <is>
          <t>Ampliar la Tabla de trade-offs operacionales (Exp. 5) con Params y Disco, con los numeros ya medidos en docs/results/final_audit_report.json: Visual 1 seed = 3.08 M par. / 12 MB / 24.9 ms CPU / 6.0 ms GPU T4; Visual 1 seed + TTA = 3.08 M / 12 MB / 49.8 ms; Visual ensemble + TTA = 6.16 M / 24 MB / 99.6 ms; Fusion (visual + DistilBERT) = 69.1 M / 267 MB / ~95 ms CPU / ~13 ms GPU. Anadir 1 frase: costo O(1) por muestra, dominado por el forward de DistilBERT (66 M par.); throughput GPU 1156 img/s (batch 32, Tesla T4).</t>
        </is>
      </c>
      <c r="H10" s="7" t="inlineStr">
        <is>
          <t>IV-E. Operational Trade-offs</t>
        </is>
      </c>
      <c r="I10" s="9" t="inlineStr">
        <is>
          <t>+8</t>
        </is>
      </c>
      <c r="J10" s="9" t="inlineStr">
        <is>
          <t>P1</t>
        </is>
      </c>
      <c r="K10" s="9" t="inlineStr">
        <is>
          <t>Bajo</t>
        </is>
      </c>
      <c r="L10" s="9" t="inlineStr">
        <is>
          <t>Hecho</t>
        </is>
      </c>
      <c r="M10" s="7" t="inlineStr">
        <is>
          <t>APLICADO: IV-E ahora trae params, disco, CPU, GPU T4, throughput y costo O(1); la Tabla VI gano la columna Params/Lat.
(original) DATOS YA MEDIDOS, no hay que re-experimentar. Solo transcribir del JSON de auditoria.</t>
        </is>
      </c>
    </row>
    <row r="11" ht="140" customHeight="1">
      <c r="A11" s="15" t="inlineStr">
        <is>
          <t>R3-2</t>
        </is>
      </c>
      <c r="B11" s="9" t="inlineStr">
        <is>
          <t>3</t>
        </is>
      </c>
      <c r="C11" s="16" t="inlineStr">
        <is>
          <t>Requerido</t>
        </is>
      </c>
      <c r="D11" s="7" t="inlineStr">
        <is>
          <t>Metodologia / Fusion</t>
        </is>
      </c>
      <c r="E11" s="7" t="inlineStr">
        <is>
          <t>The fusion model mentioned in the paper is not really described.</t>
        </is>
      </c>
      <c r="F11" s="7" t="inlineStr">
        <is>
          <t>La subseccion de fusion solo dice 'lightweight MLP'. No hay arquitectura, ni tamano, ni entrenamiento, ni justificacion del diseno.</t>
        </is>
      </c>
      <c r="G11" s="7" t="inlineStr">
        <is>
          <t>Expandir III-C con lo que ya esta implementado en src/qshield/models/fusion.py: MLP 3 -&gt; 16 -&gt; 1 con ReLU, 161 parametros entrenables, sin normalizacion; entrada z = [l_v, l_t, f]; entrenado sobre logits cacheados con focal loss (gamma=2, alpha=0.5), AdamW lr 1e-3, 20 epocas, converge en &lt;1 min en CPU con ambas ramas congeladas. Anadir la justificacion funcional del flag f: si decodifica, el logit de texto domina; si no decodifica, f=1 y la fusion aprende a apoyarse en el logit visual — sin reglas manuales. Mencionar que EmbeddingFusion (128+768+1 -&gt; 128 -&gt; 1) se probo como alternativa y se descarto por costo de inferencia frente a ganancia nula.</t>
        </is>
      </c>
      <c r="H11" s="7" t="inlineStr">
        <is>
          <t>III-C. Fusion Module</t>
        </is>
      </c>
      <c r="I11" s="9" t="inlineStr">
        <is>
          <t>+10</t>
        </is>
      </c>
      <c r="J11" s="9" t="inlineStr">
        <is>
          <t>P1</t>
        </is>
      </c>
      <c r="K11" s="9" t="inlineStr">
        <is>
          <t>Bajo</t>
        </is>
      </c>
      <c r="L11" s="9" t="inlineStr">
        <is>
          <t>Hecho</t>
        </is>
      </c>
      <c r="M11" s="7" t="inlineStr">
        <is>
          <t>APLICADO: III-C reescrita con arquitectura, entrenamiento, rol del flag f y descarte de la fusion a nivel de features. OJO: son 81 parametros, no 161 (el docstring de fusion.py estaba mal; ya corregido en el repo).
(original) El '161 parametros' es un dato muy vendible: refuerza el argumento de 'lightweight'.</t>
        </is>
      </c>
    </row>
    <row r="12" ht="140" customHeight="1">
      <c r="A12" s="15" t="inlineStr">
        <is>
          <t>R1-1</t>
        </is>
      </c>
      <c r="B12" s="9" t="inlineStr">
        <is>
          <t>1</t>
        </is>
      </c>
      <c r="C12" s="18" t="inlineStr">
        <is>
          <t>Ya cubierto</t>
        </is>
      </c>
      <c r="D12" s="7" t="inlineStr">
        <is>
          <t>Limitacion / Entrenamiento</t>
        </is>
      </c>
      <c r="E12" s="7" t="inlineStr">
        <is>
          <t>Mild Overfitting in Phase 2: The authors note that validation loss begins to diverge slightly from training loss in Phase 2, suggesting a minor overfitting vulnerability during end-to-end training</t>
        </is>
      </c>
      <c r="F12" s="7" t="inlineStr">
        <is>
          <t>Nada nuevo: el revisor felicita que ya este declarado en limitaciones.</t>
        </is>
      </c>
      <c r="G12" s="7" t="inlineStr">
        <is>
          <t>Sin cambio obligatorio. Opcional (media linea en III-A): explicitar que el checkpoint se selecciona por early stopping en la epoca 8 (minimo de val loss y maximo de val AUC), que es precisamente la mitigacion de ese sobreajuste.</t>
        </is>
      </c>
      <c r="H12" s="7" t="inlineStr">
        <is>
          <t>III-A / VI. Limitations</t>
        </is>
      </c>
      <c r="I12" s="9" t="inlineStr">
        <is>
          <t>0</t>
        </is>
      </c>
      <c r="J12" s="9" t="inlineStr">
        <is>
          <t>P3</t>
        </is>
      </c>
      <c r="K12" s="9" t="inlineStr">
        <is>
          <t>Trivial</t>
        </is>
      </c>
      <c r="L12" s="9" t="inlineStr">
        <is>
          <t>Hecho</t>
        </is>
      </c>
      <c r="M12" s="7" t="inlineStr">
        <is>
          <t>APLICADO: III-A ahora dice explicitamente que el checkpoint sale de early stopping en la epoca 8, que es la mitigacion del sobreajuste.
(original) El revisor escribe: 'the authors are commended for explicitly discussing them in the limitations section'.</t>
        </is>
      </c>
    </row>
    <row r="13" ht="140" customHeight="1">
      <c r="A13" s="15" t="inlineStr">
        <is>
          <t>R1-2</t>
        </is>
      </c>
      <c r="B13" s="9" t="inlineStr">
        <is>
          <t>1</t>
        </is>
      </c>
      <c r="C13" s="18" t="inlineStr">
        <is>
          <t>Ya cubierto</t>
        </is>
      </c>
      <c r="D13" s="7" t="inlineStr">
        <is>
          <t>Limitacion / Operacion</t>
        </is>
      </c>
      <c r="E13" s="7" t="inlineStr">
        <is>
          <t>Visual Fallback FNR: Although the visual-only branch achieves a respectable AUC of 0.9146, its standalone False Negative Rate remains somewhat high FNR=0.199. This necessitates careful operational threshold calibration (e.g., sweeping to tau=0.30 to force FNR &lt;= 0.04 at the cost of precision) when deploying in security-critical environments.</t>
        </is>
      </c>
      <c r="F13" s="7" t="inlineStr">
        <is>
          <t>Nada nuevo: ya esta el barrido de umbral en Exp. 5. El revisor solo constata el trade-off.</t>
        </is>
      </c>
      <c r="G13" s="7" t="inlineStr">
        <is>
          <t>Sin cambio obligatorio. Opcional: al cerrar VI, una clausula recordando que en modo fallback visual tau=0.40 da FNR&lt;=0.10 y tau=0.30 da FNR 0.039 a costa de precision 0.607, y que la fusion cumple el objetivo al umbral por defecto.</t>
        </is>
      </c>
      <c r="H13" s="7" t="inlineStr">
        <is>
          <t>IV-E / VI</t>
        </is>
      </c>
      <c r="I13" s="9" t="inlineStr">
        <is>
          <t>0</t>
        </is>
      </c>
      <c r="J13" s="9" t="inlineStr">
        <is>
          <t>P3</t>
        </is>
      </c>
      <c r="K13" s="9" t="inlineStr">
        <is>
          <t>Trivial</t>
        </is>
      </c>
      <c r="L13" s="9" t="inlineStr">
        <is>
          <t>Hecho</t>
        </is>
      </c>
      <c r="M13" s="7" t="inlineStr">
        <is>
          <t>Sin cambio necesario: el barrido de umbral sigue en IV-E y la conclusion menciona que la fusion cumple FNR&lt;=0.10 al umbral por defecto.
(original) Anticipar esta pregunta en el Q&amp;A de la exposicion.</t>
        </is>
      </c>
    </row>
    <row r="14" ht="140" customHeight="1">
      <c r="A14" s="15" t="inlineStr">
        <is>
          <t>R1-3</t>
        </is>
      </c>
      <c r="B14" s="9" t="inlineStr">
        <is>
          <t>1</t>
        </is>
      </c>
      <c r="C14" s="18" t="inlineStr">
        <is>
          <t>Ya cubierto</t>
        </is>
      </c>
      <c r="D14" s="7" t="inlineStr">
        <is>
          <t>Limitacion / Alcance</t>
        </is>
      </c>
      <c r="E14" s="7" t="inlineStr">
        <is>
          <t>Lack of External Context: The system evaluates only the QR image and its immediate payload, omitting surrounding webpage metadata, which could help further reduce false alarms.</t>
        </is>
      </c>
      <c r="F14" s="7" t="inlineStr">
        <is>
          <t>Nada nuevo: ya esta como trabajo futuro (tercera rama sobre metadatos del mensaje).</t>
        </is>
      </c>
      <c r="G14" s="7" t="inlineStr">
        <is>
          <t>Sin cambio. Verificar que la frase de future work sobre 'a third branch over surrounding message metadata' sobreviva al recorte de la conclusion que pide R2-2.</t>
        </is>
      </c>
      <c r="H14" s="7" t="inlineStr">
        <is>
          <t>VI. Future Work</t>
        </is>
      </c>
      <c r="I14" s="9" t="inlineStr">
        <is>
          <t>0</t>
        </is>
      </c>
      <c r="J14" s="9" t="inlineStr">
        <is>
          <t>P3</t>
        </is>
      </c>
      <c r="K14" s="9" t="inlineStr">
        <is>
          <t>Trivial</t>
        </is>
      </c>
      <c r="L14" s="9" t="inlineStr">
        <is>
          <t>Hecho</t>
        </is>
      </c>
      <c r="M14" s="7" t="inlineStr">
        <is>
          <t>Verificado: la mencion a la tercera rama sobre metadatos del mensaje sobrevivio a la reescritura de la conclusion.
(original) Cuidado: al recortar la conclusion no borrar esto, porque los tres revisores lo dan por valido.</t>
        </is>
      </c>
    </row>
    <row r="15" ht="140" customHeight="1">
      <c r="A15" s="15" t="inlineStr">
        <is>
          <t>R1-4</t>
        </is>
      </c>
      <c r="B15" s="9" t="inlineStr">
        <is>
          <t>1</t>
        </is>
      </c>
      <c r="C15" s="19" t="inlineStr">
        <is>
          <t>Informativo</t>
        </is>
      </c>
      <c r="D15" s="7" t="inlineStr">
        <is>
          <t>Idioma</t>
        </is>
      </c>
      <c r="E15" s="7" t="inlineStr">
        <is>
          <t>Your English is almost perfect, if you</t>
        </is>
      </c>
      <c r="F15" s="7" t="inlineStr">
        <is>
          <t>El comentario esta TRUNCADO en el formulario de revision. No hay contenido accionable.</t>
        </is>
      </c>
      <c r="G15" s="7" t="inlineStr">
        <is>
          <t>Sin accion derivable. Hacer igualmente una pasada final de correccion de estilo antes del camera-ready (el criterio Structure and Language ya obtuvo 5/4/4).</t>
        </is>
      </c>
      <c r="H15" s="7" t="inlineStr">
        <is>
          <t>Todo el paper</t>
        </is>
      </c>
      <c r="I15" s="9" t="inlineStr">
        <is>
          <t>0</t>
        </is>
      </c>
      <c r="J15" s="9" t="inlineStr">
        <is>
          <t>P3</t>
        </is>
      </c>
      <c r="K15" s="9" t="inlineStr">
        <is>
          <t>Bajo</t>
        </is>
      </c>
      <c r="L15" s="9" t="inlineStr">
        <is>
          <t>Pendiente</t>
        </is>
      </c>
      <c r="M15" s="7" t="inlineStr">
        <is>
          <t>Unico pendiente: pasada final de correccion de estilo antes de subir el camera-ready.
(original) Si se quiere, se puede consultar al chair si el comentario quedo cortado.</t>
        </is>
      </c>
    </row>
    <row r="17">
      <c r="A17" s="20" t="inlineStr">
        <is>
          <t>Avance:</t>
        </is>
      </c>
      <c r="C17" s="21">
        <f>COUNTIF(L5:L15,"Hecho")&amp;" / "&amp;COUNTA(L5:L15)&amp;" cerradas"</f>
        <v/>
      </c>
      <c r="E17" s="22">
        <f>COUNTIFS(J5:J15,"P1",L5:L15,"&lt;&gt;Hecho")&amp;" P1 pendientes (bloquean el camera-ready)"</f>
        <v/>
      </c>
    </row>
  </sheetData>
  <autoFilter ref="A4:M15"/>
  <mergeCells count="2">
    <mergeCell ref="A2:M2"/>
    <mergeCell ref="A1:M1"/>
  </mergeCells>
  <conditionalFormatting sqref="L5:L15">
    <cfRule type="cellIs" priority="1" operator="equal" dxfId="0">
      <formula>"Hecho"</formula>
    </cfRule>
    <cfRule type="cellIs" priority="2" operator="equal" dxfId="1">
      <formula>"En progreso"</formula>
    </cfRule>
    <cfRule type="cellIs" priority="3" operator="equal" dxfId="2">
      <formula>"Pendiente"</formula>
    </cfRule>
  </conditionalFormatting>
  <conditionalFormatting sqref="J5:J15">
    <cfRule type="cellIs" priority="4" operator="equal" dxfId="3">
      <formula>"P1"</formula>
    </cfRule>
    <cfRule type="cellIs" priority="5" operator="equal" dxfId="4">
      <formula>"P3"</formula>
    </cfRule>
  </conditionalFormatting>
  <dataValidations count="2">
    <dataValidation sqref="L5:L15" showDropDown="0" showInputMessage="0" showErrorMessage="0" allowBlank="1" type="list">
      <formula1>"Pendiente,En progreso,Hecho,Descartado"</formula1>
    </dataValidation>
    <dataValidation sqref="J5:J15" showDropDown="0" showInputMessage="0" showErrorMessage="0" allowBlank="1" type="list">
      <formula1>"P1,P2,P3"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52" customWidth="1" min="1" max="1"/>
    <col width="18" customWidth="1" min="2" max="2"/>
    <col width="14" customWidth="1" min="3" max="3"/>
    <col width="12" customWidth="1" min="4" max="4"/>
    <col width="14" customWidth="1" min="5" max="5"/>
  </cols>
  <sheetData>
    <row r="1">
      <c r="A1" s="30" t="inlineStr">
        <is>
          <t>Balance de espacio REAL de las ediciones aplicadas a paper/main.tex</t>
        </is>
      </c>
    </row>
    <row r="2">
      <c r="A2" s="31" t="inlineStr">
        <is>
          <t>Medido por conteo de caracteres. Referencia: ~62 caracteres por linea de columna, ~110 lineas de cuerpo por pagina (IEEEtran conference).</t>
        </is>
      </c>
    </row>
    <row r="4" ht="26" customHeight="1">
      <c r="A4" s="32" t="inlineStr">
        <is>
          <t>Edicion</t>
        </is>
      </c>
      <c r="B4" s="32" t="inlineStr">
        <is>
          <t>Motivo</t>
        </is>
      </c>
      <c r="C4" s="32" t="inlineStr">
        <is>
          <t>Δ caracteres</t>
        </is>
      </c>
      <c r="D4" s="32" t="inlineStr">
        <is>
          <t>Δ lineas</t>
        </is>
      </c>
      <c r="E4" s="32" t="inlineStr">
        <is>
          <t>Tipo</t>
        </is>
      </c>
    </row>
    <row r="5">
      <c r="A5" s="33" t="inlineStr">
        <is>
          <t>Intro: condensar 'existing defenses'</t>
        </is>
      </c>
      <c r="B5" s="34" t="inlineStr">
        <is>
          <t>R2-3</t>
        </is>
      </c>
      <c r="C5" s="24" t="n">
        <v>-275</v>
      </c>
      <c r="D5" s="24" t="n">
        <v>-4.4</v>
      </c>
      <c r="E5" s="34" t="inlineStr">
        <is>
          <t>recorte</t>
        </is>
      </c>
    </row>
    <row r="6">
      <c r="A6" s="33" t="inlineStr">
        <is>
          <t>Intro: condensar 'two-stage problem'</t>
        </is>
      </c>
      <c r="B6" s="34" t="inlineStr">
        <is>
          <t>R2-3</t>
        </is>
      </c>
      <c r="C6" s="24" t="n">
        <v>-158</v>
      </c>
      <c r="D6" s="24" t="n">
        <v>-2.5</v>
      </c>
      <c r="E6" s="34" t="inlineStr">
        <is>
          <t>recorte</t>
        </is>
      </c>
    </row>
    <row r="7">
      <c r="A7" s="33" t="inlineStr">
        <is>
          <t>Intro: parrafo de roadmap</t>
        </is>
      </c>
      <c r="B7" s="34" t="inlineStr">
        <is>
          <t>R2-3</t>
        </is>
      </c>
      <c r="C7" s="35" t="n">
        <v>446</v>
      </c>
      <c r="D7" s="35" t="n">
        <v>7.2</v>
      </c>
      <c r="E7" s="34" t="inlineStr">
        <is>
          <t>adicion</t>
        </is>
      </c>
    </row>
    <row r="8">
      <c r="A8" s="33" t="inlineStr">
        <is>
          <t>II: quitar enumeracion de las cinco direcciones</t>
        </is>
      </c>
      <c r="B8" s="34" t="inlineStr">
        <is>
          <t>espacio</t>
        </is>
      </c>
      <c r="C8" s="24" t="n">
        <v>-231</v>
      </c>
      <c r="D8" s="24" t="n">
        <v>-3.7</v>
      </c>
      <c r="E8" s="34" t="inlineStr">
        <is>
          <t>recorte</t>
        </is>
      </c>
    </row>
    <row r="9">
      <c r="A9" s="33" t="inlineStr">
        <is>
          <t>II-D: comprimir human-centered</t>
        </is>
      </c>
      <c r="B9" s="34" t="inlineStr">
        <is>
          <t>espacio</t>
        </is>
      </c>
      <c r="C9" s="24" t="n">
        <v>-55</v>
      </c>
      <c r="D9" s="24" t="n">
        <v>-0.9</v>
      </c>
      <c r="E9" s="34" t="inlineStr">
        <is>
          <t>recorte</t>
        </is>
      </c>
    </row>
    <row r="10">
      <c r="A10" s="33" t="inlineStr">
        <is>
          <t>II-E: comprimir operational defenses</t>
        </is>
      </c>
      <c r="B10" s="34" t="inlineStr">
        <is>
          <t>espacio</t>
        </is>
      </c>
      <c r="C10" s="24" t="n">
        <v>-129</v>
      </c>
      <c r="D10" s="24" t="n">
        <v>-2.1</v>
      </c>
      <c r="E10" s="34" t="inlineStr">
        <is>
          <t>recorte</t>
        </is>
      </c>
    </row>
    <row r="11">
      <c r="A11" s="33" t="inlineStr">
        <is>
          <t>III: quitar frase que repetia el caption de la Fig. 1</t>
        </is>
      </c>
      <c r="B11" s="34" t="inlineStr">
        <is>
          <t>espacio</t>
        </is>
      </c>
      <c r="C11" s="24" t="n">
        <v>-280</v>
      </c>
      <c r="D11" s="24" t="n">
        <v>-4.5</v>
      </c>
      <c r="E11" s="34" t="inlineStr">
        <is>
          <t>recorte</t>
        </is>
      </c>
    </row>
    <row r="12">
      <c r="A12" s="33" t="inlineStr">
        <is>
          <t>III-A: fusionar frases de apertura</t>
        </is>
      </c>
      <c r="B12" s="34" t="inlineStr">
        <is>
          <t>espacio</t>
        </is>
      </c>
      <c r="C12" s="24" t="n">
        <v>-135</v>
      </c>
      <c r="D12" s="24" t="n">
        <v>-2.2</v>
      </c>
      <c r="E12" s="34" t="inlineStr">
        <is>
          <t>recorte</t>
        </is>
      </c>
    </row>
    <row r="13">
      <c r="A13" s="33" t="inlineStr">
        <is>
          <t>III-A Fase 1: quitar duplicado del caption</t>
        </is>
      </c>
      <c r="B13" s="34" t="inlineStr">
        <is>
          <t>espacio</t>
        </is>
      </c>
      <c r="C13" s="24" t="n">
        <v>-210</v>
      </c>
      <c r="D13" s="24" t="n">
        <v>-3.4</v>
      </c>
      <c r="E13" s="34" t="inlineStr">
        <is>
          <t>recorte</t>
        </is>
      </c>
    </row>
    <row r="14">
      <c r="A14" s="33" t="inlineStr">
        <is>
          <t>III-A Fase 2: early stopping como mitigacion</t>
        </is>
      </c>
      <c r="B14" s="34" t="inlineStr">
        <is>
          <t>R1-1</t>
        </is>
      </c>
      <c r="C14" s="35" t="n">
        <v>118</v>
      </c>
      <c r="D14" s="35" t="n">
        <v>1.9</v>
      </c>
      <c r="E14" s="34" t="inlineStr">
        <is>
          <t>adicion</t>
        </is>
      </c>
    </row>
    <row r="15">
      <c r="A15" s="33" t="inlineStr">
        <is>
          <t>III-C: describir el modulo de fusion</t>
        </is>
      </c>
      <c r="B15" s="34" t="inlineStr">
        <is>
          <t>R3-2</t>
        </is>
      </c>
      <c r="C15" s="35" t="n">
        <v>874</v>
      </c>
      <c r="D15" s="35" t="n">
        <v>14.1</v>
      </c>
      <c r="E15" s="34" t="inlineStr">
        <is>
          <t>adicion</t>
        </is>
      </c>
    </row>
    <row r="16">
      <c r="A16" s="33" t="inlineStr">
        <is>
          <t>III-C: quitar el recap de las tres etapas</t>
        </is>
      </c>
      <c r="B16" s="34" t="inlineStr">
        <is>
          <t>espacio</t>
        </is>
      </c>
      <c r="C16" s="24" t="n">
        <v>-241</v>
      </c>
      <c r="D16" s="24" t="n">
        <v>-3.9</v>
      </c>
      <c r="E16" s="34" t="inlineStr">
        <is>
          <t>recorte</t>
        </is>
      </c>
    </row>
    <row r="17">
      <c r="A17" s="33" t="inlineStr">
        <is>
          <t>IV-A: comprimir descripcion de los corpus</t>
        </is>
      </c>
      <c r="B17" s="34" t="inlineStr">
        <is>
          <t>espacio</t>
        </is>
      </c>
      <c r="C17" s="24" t="n">
        <v>-68</v>
      </c>
      <c r="D17" s="24" t="n">
        <v>-1.1</v>
      </c>
      <c r="E17" s="34" t="inlineStr">
        <is>
          <t>recorte</t>
        </is>
      </c>
    </row>
    <row r="18">
      <c r="A18" s="33" t="inlineStr">
        <is>
          <t>IV-A: quitar repeticion de arquitectura</t>
        </is>
      </c>
      <c r="B18" s="34" t="inlineStr">
        <is>
          <t>espacio</t>
        </is>
      </c>
      <c r="C18" s="24" t="n">
        <v>-256</v>
      </c>
      <c r="D18" s="24" t="n">
        <v>-4.1</v>
      </c>
      <c r="E18" s="34" t="inlineStr">
        <is>
          <t>recorte</t>
        </is>
      </c>
    </row>
    <row r="19">
      <c r="A19" s="33" t="inlineStr">
        <is>
          <t>Exp1: absorber frase de cierre redundante</t>
        </is>
      </c>
      <c r="B19" s="34" t="inlineStr">
        <is>
          <t>espacio</t>
        </is>
      </c>
      <c r="C19" s="24" t="n">
        <v>-75</v>
      </c>
      <c r="D19" s="24" t="n">
        <v>-1.2</v>
      </c>
      <c r="E19" s="34" t="inlineStr">
        <is>
          <t>recorte</t>
        </is>
      </c>
    </row>
    <row r="20">
      <c r="A20" s="33" t="inlineStr">
        <is>
          <t>Exp2: fusionar la referencia a la Fig. 4</t>
        </is>
      </c>
      <c r="B20" s="34" t="inlineStr">
        <is>
          <t>espacio</t>
        </is>
      </c>
      <c r="C20" s="24" t="n">
        <v>-40</v>
      </c>
      <c r="D20" s="24" t="n">
        <v>-0.6</v>
      </c>
      <c r="E20" s="34" t="inlineStr">
        <is>
          <t>recorte</t>
        </is>
      </c>
    </row>
    <row r="21">
      <c r="A21" s="33" t="inlineStr">
        <is>
          <t>Exp3: quitar frase de TTA ya dicha en Exp1</t>
        </is>
      </c>
      <c r="B21" s="34" t="inlineStr">
        <is>
          <t>espacio</t>
        </is>
      </c>
      <c r="C21" s="24" t="n">
        <v>-125</v>
      </c>
      <c r="D21" s="24" t="n">
        <v>-2</v>
      </c>
      <c r="E21" s="34" t="inlineStr">
        <is>
          <t>recorte</t>
        </is>
      </c>
    </row>
    <row r="22">
      <c r="A22" s="33" t="inlineStr">
        <is>
          <t>Exp4: fusionar frase final</t>
        </is>
      </c>
      <c r="B22" s="34" t="inlineStr">
        <is>
          <t>espacio</t>
        </is>
      </c>
      <c r="C22" s="24" t="n">
        <v>-141</v>
      </c>
      <c r="D22" s="24" t="n">
        <v>-2.3</v>
      </c>
      <c r="E22" s="34" t="inlineStr">
        <is>
          <t>recorte</t>
        </is>
      </c>
    </row>
    <row r="23">
      <c r="A23" s="33" t="inlineStr">
        <is>
          <t>IV-E: complejidad computacional + 'More broadly'</t>
        </is>
      </c>
      <c r="B23" s="34" t="inlineStr">
        <is>
          <t>R3-1 / R2-2</t>
        </is>
      </c>
      <c r="C23" s="35" t="n">
        <v>465</v>
      </c>
      <c r="D23" s="35" t="n">
        <v>7.5</v>
      </c>
      <c r="E23" s="34" t="inlineStr">
        <is>
          <t>adicion</t>
        </is>
      </c>
    </row>
    <row r="24">
      <c r="A24" s="33" t="inlineStr">
        <is>
          <t>Exp6: quitar coletilla redundante</t>
        </is>
      </c>
      <c r="B24" s="34" t="inlineStr">
        <is>
          <t>espacio</t>
        </is>
      </c>
      <c r="C24" s="24" t="n">
        <v>-82</v>
      </c>
      <c r="D24" s="24" t="n">
        <v>-1.3</v>
      </c>
      <c r="E24" s="34" t="inlineStr">
        <is>
          <t>recorte</t>
        </is>
      </c>
    </row>
    <row r="25">
      <c r="A25" s="33" t="inlineStr">
        <is>
          <t>V: reescribir la conclusion</t>
        </is>
      </c>
      <c r="B25" s="34" t="inlineStr">
        <is>
          <t>R2-1/R2-2/R2-4</t>
        </is>
      </c>
      <c r="C25" s="35" t="n">
        <v>507</v>
      </c>
      <c r="D25" s="35" t="n">
        <v>8.199999999999999</v>
      </c>
      <c r="E25" s="34" t="inlineStr">
        <is>
          <t>adicion</t>
        </is>
      </c>
    </row>
    <row r="26">
      <c r="A26" s="33" t="inlineStr">
        <is>
          <t>Intro p2 y p5: quitar solapes</t>
        </is>
      </c>
      <c r="B26" s="34" t="inlineStr">
        <is>
          <t>espacio</t>
        </is>
      </c>
      <c r="C26" s="24" t="n">
        <v>-123</v>
      </c>
      <c r="D26" s="24" t="n">
        <v>-2</v>
      </c>
      <c r="E26" s="34" t="inlineStr">
        <is>
          <t>recorte</t>
        </is>
      </c>
    </row>
    <row r="28">
      <c r="A28" s="36" t="inlineStr">
        <is>
          <t>NETO</t>
        </is>
      </c>
      <c r="C28" s="37">
        <f>SUM(C5:C26)</f>
        <v/>
      </c>
      <c r="D28" s="37">
        <f>ROUND(SUM(D5:D26),1)</f>
        <v/>
      </c>
      <c r="E28" s="38" t="inlineStr">
        <is>
          <t>mas corto</t>
        </is>
      </c>
    </row>
    <row r="30">
      <c r="A30" s="29" t="inlineStr">
        <is>
          <t>RESULTADO: el paper queda ~3.5 lineas MAS CORTO que la version aceptada, pese a haber respondido las siete observaciones. Deberia seguir en 6 paginas.</t>
        </is>
      </c>
    </row>
    <row r="32">
      <c r="A32" s="3" t="inlineStr">
        <is>
          <t>SI AUN ASI SE DESBORDA EN OVERLEAF, en este orden:</t>
        </is>
      </c>
    </row>
    <row r="33" ht="30" customHeight="1">
      <c r="A33" s="39" t="inlineStr">
        <is>
          <t>1. Quitar la Figura 2 (fig_phase1_curves) y devolver sus dos cifras al texto. Libera ~12 lineas: es el recorte grande disponible y la Fig. 3 (Fase 2) ya es la que justifica el checkpoint.</t>
        </is>
      </c>
    </row>
    <row r="34" ht="30" customHeight="1">
      <c r="A34" s="39" t="inlineStr">
        <is>
          <t>2. Pasar la Tabla I (Dataset Statistics) a dos lineas de texto corrido. Libera ~7 lineas.</t>
        </is>
      </c>
    </row>
    <row r="35" ht="30" customHeight="1">
      <c r="A35" s="39" t="inlineStr">
        <is>
          <t>3. Recortar el abstract ~150 caracteres (hay solape entre la frase de datasets y la de resultados).</t>
        </is>
      </c>
    </row>
    <row r="36" ht="30" customHeight="1">
      <c r="A36" s="39" t="inlineStr">
        <is>
          <t>4. Ultimo recurso: quitar de II-D la mencion a Bekavac y Garbin (es la cita menos central).</t>
        </is>
      </c>
    </row>
  </sheetData>
  <mergeCells count="7">
    <mergeCell ref="A30:E30"/>
    <mergeCell ref="A34:E34"/>
    <mergeCell ref="A35:E35"/>
    <mergeCell ref="A2:E2"/>
    <mergeCell ref="A33:E33"/>
    <mergeCell ref="A1:E1"/>
    <mergeCell ref="A36:E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7" customWidth="1" min="1" max="1"/>
    <col width="68" customWidth="1" min="2" max="2"/>
    <col width="62" customWidth="1" min="3" max="3"/>
    <col width="26" customWidth="1" min="4" max="4"/>
  </cols>
  <sheetData>
    <row r="1" ht="24" customHeight="1">
      <c r="A1" s="1" t="inlineStr">
        <is>
          <t>Lo que el jurado destaco — usarlo como guion de la exposicion</t>
        </is>
      </c>
    </row>
    <row r="2" ht="16" customHeight="1">
      <c r="A2" s="2" t="inlineStr">
        <is>
          <t>Son argumentos ya validados por un revisor con confianza alta. Llevarlos al PPT tal cual.</t>
        </is>
      </c>
    </row>
    <row r="4" ht="30" customHeight="1">
      <c r="A4" s="6" t="inlineStr">
        <is>
          <t>#</t>
        </is>
      </c>
      <c r="B4" s="6" t="inlineStr">
        <is>
          <t>Lo que destaco el revisor 1</t>
        </is>
      </c>
      <c r="C4" s="6" t="inlineStr">
        <is>
          <t>Como usarlo en la exposicion</t>
        </is>
      </c>
      <c r="D4" s="6" t="inlineStr">
        <is>
          <t>Slide del PPT</t>
        </is>
      </c>
    </row>
    <row r="5" ht="76" customHeight="1">
      <c r="A5" s="14" t="inlineStr">
        <is>
          <t>F1</t>
        </is>
      </c>
      <c r="B5" s="7" t="inlineStr">
        <is>
          <t>The two-stage multimodal paradigm is elegantly aligned with the natural sequence of user-QR interactions, maximizing the utility of both visual and textual signals.</t>
        </is>
      </c>
      <c r="C5" s="7" t="inlineStr">
        <is>
          <t>Es el argumento central de la charla: la arquitectura no es una eleccion arbitraria, copia el pipeline real de un escaneo. Abrir la seccion de metodologia con esto.</t>
        </is>
      </c>
      <c r="D5" s="7" t="inlineStr">
        <is>
          <t>Contribuciones / Metodologia</t>
        </is>
      </c>
    </row>
    <row r="6" ht="76" customHeight="1">
      <c r="A6" s="14" t="inlineStr">
        <is>
          <t>F2</t>
        </is>
      </c>
      <c r="B6" s="7" t="inlineStr">
        <is>
          <t>The late-fusion module incorporates a binary decoding success flag, enabling the model to dynamically learn how to adjust its prediction confidence when a payload cannot be parsed.</t>
        </is>
      </c>
      <c r="C6" s="7" t="inlineStr">
        <is>
          <t>Es el detalle tecnico que mas gusto. Dedicarle su propia slide (y de paso responde al Rev. 3, que pedia describir la fusion).</t>
        </is>
      </c>
      <c r="D6" s="7" t="inlineStr">
        <is>
          <t>Rama de texto + Fusion</t>
        </is>
      </c>
    </row>
    <row r="7" ht="76" customHeight="1">
      <c r="A7" s="14" t="inlineStr">
        <is>
          <t>F3</t>
        </is>
      </c>
      <c r="B7" s="7" t="inlineStr">
        <is>
          <t>The empirical study utilizes heterogeneous dataset subset (CIC-Trap4Phish) to ensure results are representative of real-world noise, blur, and rendering artifacts.</t>
        </is>
      </c>
      <c r="C7" s="7" t="inlineStr">
        <is>
          <t>Justifica por que no basta con Trad. Mostrar lado a lado un QR de Trad (69x69 limpio) y uno de CIC (resolucion variable, artefactos).</t>
        </is>
      </c>
      <c r="D7" s="7" t="inlineStr">
        <is>
          <t>Datasets</t>
        </is>
      </c>
    </row>
    <row r="8" ht="76" customHeight="1">
      <c r="A8" s="14" t="inlineStr">
        <is>
          <t>F4</t>
        </is>
      </c>
      <c r="B8" s="7" t="inlineStr">
        <is>
          <t>The cross-dataset generalization evaluation exposes a critical pitfall in standard quishing research, demonstrating that single-corpus models fail under domain shifts.</t>
        </is>
      </c>
      <c r="C8" s="7" t="inlineStr">
        <is>
          <t>Es el hallazgo metodologico con mas valor para la comunidad: AUC 0.52 entrenando en un solo corpus. Presentarlo como advertencia al campo, no como un resultado mas.</t>
        </is>
      </c>
      <c r="D8" s="7" t="inlineStr">
        <is>
          <t>Resultados: cross-dataset</t>
        </is>
      </c>
    </row>
    <row r="9" ht="76" customHeight="1">
      <c r="A9" s="14" t="inlineStr">
        <is>
          <t>F5</t>
        </is>
      </c>
      <c r="B9" s="7" t="inlineStr">
        <is>
          <t>The dual-layer explainability validation is exceptionally rigorous; measuring a Pearson correlation coefficient of r=0.43 between Grad-CAM attention maps across independent datasets proves that the CNN generalizes based on genuine geometric structure rather than dataset-specific background shortcuts.</t>
        </is>
      </c>
      <c r="C9" s="7" t="inlineStr">
        <is>
          <t>Unico elogio con la palabra 'exceptionally'. Mostrar los mapas Grad-CAM de ambos corpus lado a lado y el numero r=0.43 en grande.</t>
        </is>
      </c>
      <c r="D9" s="7" t="inlineStr">
        <is>
          <t>Resultados: explicabilidad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2026-08-05T06:42:29Z</dcterms:created>
  <dcterms:modified xmlns:dcterms="http://purl.org/dc/terms/" xmlns:xsi="http://www.w3.org/2001/XMLSchema-instance" xsi:type="dcterms:W3CDTF">2026-08-11T23:01:11Z</dcterms:modified>
</cp:coreProperties>
</file>